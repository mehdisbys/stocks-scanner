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 Symbol" sheetId="2" state="visible" r:id="rId4"/>
  </sheets>
  <definedNames>
    <definedName function="false" hidden="true" localSheetId="1" name="_xlnm._FilterDatabase" vbProcedure="false">'Per Symbol'!$A$1:$G$101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<sst xmlns="http://schemas.openxmlformats.org/spreadsheetml/2006/main" count="152" uniqueCount="146">
  <si>
    <t xml:space="preserve">Signals System — Backtest Results</t>
  </si>
  <si>
    <t xml:space="preserve">Top 100 US stocks by liquidity · 10-year daily history · long-only · scoring engine v1 (untuned)</t>
  </si>
  <si>
    <t xml:space="preserve">Test parameters</t>
  </si>
  <si>
    <t xml:space="preserve">Universe</t>
  </si>
  <si>
    <t xml:space="preserve">Top 100 S&amp;P 500 by dollar volume</t>
  </si>
  <si>
    <t xml:space="preserve">History</t>
  </si>
  <si>
    <t xml:space="preserve">~10 years daily (Yahoo, split/div-adjusted)</t>
  </si>
  <si>
    <t xml:space="preserve">Direction</t>
  </si>
  <si>
    <t xml:space="preserve">Long only</t>
  </si>
  <si>
    <t xml:space="preserve">Costs</t>
  </si>
  <si>
    <t xml:space="preserve">15 bps/side (10 fee + 5 slippage)</t>
  </si>
  <si>
    <t xml:space="preserve">Risk exits</t>
  </si>
  <si>
    <t xml:space="preserve">10% stop-loss · 60-bar max hold</t>
  </si>
  <si>
    <t xml:space="preserve">Entry / exit threshold</t>
  </si>
  <si>
    <t xml:space="preserve">6.0 / 5.0 (untuned defaults)</t>
  </si>
  <si>
    <t xml:space="preserve">Pooled-trade results  (every trade across all symbols)</t>
  </si>
  <si>
    <t xml:space="preserve">Total trades</t>
  </si>
  <si>
    <t xml:space="preserve">Source: backtest engine</t>
  </si>
  <si>
    <t xml:space="preserve">Win rate</t>
  </si>
  <si>
    <t xml:space="preserve">Profit factor</t>
  </si>
  <si>
    <t xml:space="preserve">Expectancy / trade</t>
  </si>
  <si>
    <t xml:space="preserve">Average win</t>
  </si>
  <si>
    <t xml:space="preserve">Average loss</t>
  </si>
  <si>
    <t xml:space="preserve">Per-symbol results  (live formulas from 'Per Symbol' sheet)</t>
  </si>
  <si>
    <t xml:space="preserve">Symbols tested</t>
  </si>
  <si>
    <t xml:space="preserve">% symbols profitable</t>
  </si>
  <si>
    <t xml:space="preserve">% symbols beat buy&amp;hold</t>
  </si>
  <si>
    <t xml:space="preserve">Median symbol return</t>
  </si>
  <si>
    <t xml:space="preserve">Average symbol return</t>
  </si>
  <si>
    <t xml:space="preserve">Average buy &amp; hold</t>
  </si>
  <si>
    <t xml:space="preserve">Average max drawdown</t>
  </si>
  <si>
    <t xml:space="preserve">How to read this</t>
  </si>
  <si>
    <t xml:space="preserve">Win rate ~45% but profit factor 1.78 and positive expectancy: the edge comes from</t>
  </si>
  <si>
    <t xml:space="preserve">asymmetry — average winner (+13.7%) is ~2x the average loser (-6.3%).</t>
  </si>
  <si>
    <t xml:space="preserve">Only ~6% of names beat buy &amp; hold: these mega-caps were in strong 10-year uptrends,</t>
  </si>
  <si>
    <t xml:space="preserve">so a long-only system sitting in cash part of the time lags a melt-up. The strategy's</t>
  </si>
  <si>
    <t xml:space="preserve">value is selectivity and smaller drawdowns, not out-returning a raging bull.</t>
  </si>
  <si>
    <t xml:space="preserve">CAVEATS: backtested (not forward-tested); survivorship bias (today's top-100 are winners);</t>
  </si>
  <si>
    <t xml:space="preserve">weights are untuned defaults; single long-only sizing, no portfolio capital constraint.</t>
  </si>
  <si>
    <t xml:space="preserve">Not financial advice.</t>
  </si>
  <si>
    <t xml:space="preserve">Symbol</t>
  </si>
  <si>
    <t xml:space="preserve">Trades</t>
  </si>
  <si>
    <t xml:space="preserve">Total return</t>
  </si>
  <si>
    <t xml:space="preserve">Max drawdown</t>
  </si>
  <si>
    <t xml:space="preserve">Buy &amp; hold</t>
  </si>
  <si>
    <t xml:space="preserve">Beat B&amp;H?</t>
  </si>
  <si>
    <t xml:space="preserve">TSLA</t>
  </si>
  <si>
    <t xml:space="preserve">DELL</t>
  </si>
  <si>
    <t xml:space="preserve">APP</t>
  </si>
  <si>
    <t xml:space="preserve">AMD</t>
  </si>
  <si>
    <t xml:space="preserve">VRT</t>
  </si>
  <si>
    <t xml:space="preserve">NVDA</t>
  </si>
  <si>
    <t xml:space="preserve">FTNT</t>
  </si>
  <si>
    <t xml:space="preserve">CRWD</t>
  </si>
  <si>
    <t xml:space="preserve">SNDK</t>
  </si>
  <si>
    <t xml:space="preserve">PLTR</t>
  </si>
  <si>
    <t xml:space="preserve">MS</t>
  </si>
  <si>
    <t xml:space="preserve">NFLX</t>
  </si>
  <si>
    <t xml:space="preserve">LLY</t>
  </si>
  <si>
    <t xml:space="preserve">LRCX</t>
  </si>
  <si>
    <t xml:space="preserve">AAPL</t>
  </si>
  <si>
    <t xml:space="preserve">AVGO</t>
  </si>
  <si>
    <t xml:space="preserve">KLAC</t>
  </si>
  <si>
    <t xml:space="preserve">COST</t>
  </si>
  <si>
    <t xml:space="preserve">STX</t>
  </si>
  <si>
    <t xml:space="preserve">APH</t>
  </si>
  <si>
    <t xml:space="preserve">TXN</t>
  </si>
  <si>
    <t xml:space="preserve">WDC</t>
  </si>
  <si>
    <t xml:space="preserve">TER</t>
  </si>
  <si>
    <t xml:space="preserve">LMT</t>
  </si>
  <si>
    <t xml:space="preserve">CAT</t>
  </si>
  <si>
    <t xml:space="preserve">GLW</t>
  </si>
  <si>
    <t xml:space="preserve">ABBV</t>
  </si>
  <si>
    <t xml:space="preserve">CDNS</t>
  </si>
  <si>
    <t xml:space="preserve">CEG</t>
  </si>
  <si>
    <t xml:space="preserve">PANW</t>
  </si>
  <si>
    <t xml:space="preserve">AMAT</t>
  </si>
  <si>
    <t xml:space="preserve">GOOG</t>
  </si>
  <si>
    <t xml:space="preserve">MSFT</t>
  </si>
  <si>
    <t xml:space="preserve">GS</t>
  </si>
  <si>
    <t xml:space="preserve">BA</t>
  </si>
  <si>
    <t xml:space="preserve">MU</t>
  </si>
  <si>
    <t xml:space="preserve">C</t>
  </si>
  <si>
    <t xml:space="preserve">GE</t>
  </si>
  <si>
    <t xml:space="preserve">CHTR</t>
  </si>
  <si>
    <t xml:space="preserve">META</t>
  </si>
  <si>
    <t xml:space="preserve">XOM</t>
  </si>
  <si>
    <t xml:space="preserve">WMT</t>
  </si>
  <si>
    <t xml:space="preserve">COHR</t>
  </si>
  <si>
    <t xml:space="preserve">HOOD</t>
  </si>
  <si>
    <t xml:space="preserve">COP</t>
  </si>
  <si>
    <t xml:space="preserve">ORCL</t>
  </si>
  <si>
    <t xml:space="preserve">GOOGL</t>
  </si>
  <si>
    <t xml:space="preserve">SCHW</t>
  </si>
  <si>
    <t xml:space="preserve">HD</t>
  </si>
  <si>
    <t xml:space="preserve">HPE</t>
  </si>
  <si>
    <t xml:space="preserve">ON</t>
  </si>
  <si>
    <t xml:space="preserve">AMZN</t>
  </si>
  <si>
    <t xml:space="preserve">PGR</t>
  </si>
  <si>
    <t xml:space="preserve">ABT</t>
  </si>
  <si>
    <t xml:space="preserve">AMGN</t>
  </si>
  <si>
    <t xml:space="preserve">WFC</t>
  </si>
  <si>
    <t xml:space="preserve">TMUS</t>
  </si>
  <si>
    <t xml:space="preserve">VRSK</t>
  </si>
  <si>
    <t xml:space="preserve">CSCO</t>
  </si>
  <si>
    <t xml:space="preserve">AZO</t>
  </si>
  <si>
    <t xml:space="preserve">INTC</t>
  </si>
  <si>
    <t xml:space="preserve">LIN</t>
  </si>
  <si>
    <t xml:space="preserve">MPWR</t>
  </si>
  <si>
    <t xml:space="preserve">QCOM</t>
  </si>
  <si>
    <t xml:space="preserve">ADI</t>
  </si>
  <si>
    <t xml:space="preserve">BAC</t>
  </si>
  <si>
    <t xml:space="preserve">IBM</t>
  </si>
  <si>
    <t xml:space="preserve">JPM</t>
  </si>
  <si>
    <t xml:space="preserve">PM</t>
  </si>
  <si>
    <t xml:space="preserve">SMCI</t>
  </si>
  <si>
    <t xml:space="preserve">PFE</t>
  </si>
  <si>
    <t xml:space="preserve">JNJ</t>
  </si>
  <si>
    <t xml:space="preserve">MA</t>
  </si>
  <si>
    <t xml:space="preserve">SATS</t>
  </si>
  <si>
    <t xml:space="preserve">NOW</t>
  </si>
  <si>
    <t xml:space="preserve">PG</t>
  </si>
  <si>
    <t xml:space="preserve">GEV</t>
  </si>
  <si>
    <t xml:space="preserve">MCD</t>
  </si>
  <si>
    <t xml:space="preserve">CTSH</t>
  </si>
  <si>
    <t xml:space="preserve">MRK</t>
  </si>
  <si>
    <t xml:space="preserve">ACN</t>
  </si>
  <si>
    <t xml:space="preserve">SLB</t>
  </si>
  <si>
    <t xml:space="preserve">KO</t>
  </si>
  <si>
    <t xml:space="preserve">V</t>
  </si>
  <si>
    <t xml:space="preserve">NXPI</t>
  </si>
  <si>
    <t xml:space="preserve">SO</t>
  </si>
  <si>
    <t xml:space="preserve">INTU</t>
  </si>
  <si>
    <t xml:space="preserve">T</t>
  </si>
  <si>
    <t xml:space="preserve">PEP</t>
  </si>
  <si>
    <t xml:space="preserve">UBER</t>
  </si>
  <si>
    <t xml:space="preserve">VZ</t>
  </si>
  <si>
    <t xml:space="preserve">CVS</t>
  </si>
  <si>
    <t xml:space="preserve">NEM</t>
  </si>
  <si>
    <t xml:space="preserve">UNH</t>
  </si>
  <si>
    <t xml:space="preserve">DIS</t>
  </si>
  <si>
    <t xml:space="preserve">CRM</t>
  </si>
  <si>
    <t xml:space="preserve">CVX</t>
  </si>
  <si>
    <t xml:space="preserve">BKNG</t>
  </si>
  <si>
    <t xml:space="preserve">LITE</t>
  </si>
  <si>
    <t xml:space="preserve">ADBE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</si>
</sst>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0"/>
    <numFmt numFmtId="168" formatCode="0.00%;\(0.00%\)"/>
    <numFmt numFmtId="169" formatCode="0.0%;\(0.0%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6" min="4" style="0" width="12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4" t="s">
        <v>16</v>
      </c>
      <c r="B13" s="6" t="n">
        <v>3770</v>
      </c>
      <c r="C13" s="7" t="s">
        <v>17</v>
      </c>
    </row>
    <row r="14" customFormat="false" ht="15" hidden="false" customHeight="false" outlineLevel="0" collapsed="false">
      <c r="A14" s="4" t="s">
        <v>18</v>
      </c>
      <c r="B14" s="8" t="n">
        <v>0.451193633952255</v>
      </c>
      <c r="C14" s="7" t="s">
        <v>17</v>
      </c>
    </row>
    <row r="15" customFormat="false" ht="15" hidden="false" customHeight="false" outlineLevel="0" collapsed="false">
      <c r="A15" s="4" t="s">
        <v>19</v>
      </c>
      <c r="B15" s="9" t="n">
        <v>1.77971114126014</v>
      </c>
      <c r="C15" s="7" t="s">
        <v>17</v>
      </c>
    </row>
    <row r="16" customFormat="false" ht="15" hidden="false" customHeight="false" outlineLevel="0" collapsed="false">
      <c r="A16" s="4" t="s">
        <v>20</v>
      </c>
      <c r="B16" s="10" t="n">
        <v>0.0270995964542508</v>
      </c>
      <c r="C16" s="7" t="s">
        <v>17</v>
      </c>
    </row>
    <row r="17" customFormat="false" ht="15" hidden="false" customHeight="false" outlineLevel="0" collapsed="false">
      <c r="A17" s="4" t="s">
        <v>21</v>
      </c>
      <c r="B17" s="10" t="n">
        <v>0.137093113477614</v>
      </c>
      <c r="C17" s="7" t="s">
        <v>17</v>
      </c>
    </row>
    <row r="18" customFormat="false" ht="15" hidden="false" customHeight="false" outlineLevel="0" collapsed="false">
      <c r="A18" s="4" t="s">
        <v>22</v>
      </c>
      <c r="B18" s="10" t="n">
        <v>-0.0633300664054595</v>
      </c>
      <c r="C18" s="7" t="s">
        <v>17</v>
      </c>
    </row>
    <row r="20" customFormat="false" ht="15" hidden="false" customHeight="false" outlineLevel="0" collapsed="false">
      <c r="A20" s="3" t="s">
        <v>23</v>
      </c>
    </row>
    <row r="21" customFormat="false" ht="15" hidden="false" customHeight="false" outlineLevel="0" collapsed="false">
      <c r="A21" s="4" t="s">
        <v>24</v>
      </c>
      <c r="B21" s="6" t="n">
        <f aca="false">COUNTA('Per Symbol'!A2:A101)</f>
        <v>100</v>
      </c>
    </row>
    <row r="22" customFormat="false" ht="15" hidden="false" customHeight="false" outlineLevel="0" collapsed="false">
      <c r="A22" s="4" t="s">
        <v>25</v>
      </c>
      <c r="B22" s="8" t="n">
        <f aca="false">COUNTIF('Per Symbol'!D2:D101,"&gt;0")/COUNTA('Per Symbol'!A2:A101)</f>
        <v>0.84</v>
      </c>
    </row>
    <row r="23" customFormat="false" ht="15" hidden="false" customHeight="false" outlineLevel="0" collapsed="false">
      <c r="A23" s="4" t="s">
        <v>26</v>
      </c>
      <c r="B23" s="8" t="n">
        <f aca="false">COUNTIF('Per Symbol'!G2:G101,TRUE())/COUNTA('Per Symbol'!A2:A101)</f>
        <v>0.06</v>
      </c>
    </row>
    <row r="24" customFormat="false" ht="15" hidden="false" customHeight="false" outlineLevel="0" collapsed="false">
      <c r="A24" s="4" t="s">
        <v>27</v>
      </c>
      <c r="B24" s="11" t="n">
        <f aca="false">MEDIAN('Per Symbol'!D2:D101)</f>
        <v>0.59862918477237</v>
      </c>
    </row>
    <row r="25" customFormat="false" ht="15" hidden="false" customHeight="false" outlineLevel="0" collapsed="false">
      <c r="A25" s="4" t="s">
        <v>28</v>
      </c>
      <c r="B25" s="11" t="n">
        <f aca="false">AVERAGE('Per Symbol'!D2:D101)</f>
        <v>1.68386473587506</v>
      </c>
    </row>
    <row r="26" customFormat="false" ht="15" hidden="false" customHeight="false" outlineLevel="0" collapsed="false">
      <c r="A26" s="4" t="s">
        <v>29</v>
      </c>
      <c r="B26" s="11" t="n">
        <f aca="false">AVERAGE('Per Symbol'!F2:F101)</f>
        <v>12.3983816129146</v>
      </c>
    </row>
    <row r="27" customFormat="false" ht="15" hidden="false" customHeight="false" outlineLevel="0" collapsed="false">
      <c r="A27" s="4" t="s">
        <v>30</v>
      </c>
      <c r="B27" s="11" t="n">
        <f aca="false">AVERAGE('Per Symbol'!E2:E101)</f>
        <v>-0.391167157803607</v>
      </c>
    </row>
    <row r="30" customFormat="false" ht="15" hidden="false" customHeight="false" outlineLevel="0" collapsed="false">
      <c r="A30" s="3" t="s">
        <v>31</v>
      </c>
    </row>
    <row r="31" customFormat="false" ht="15" hidden="false" customHeight="false" outlineLevel="0" collapsed="false">
      <c r="A31" s="7" t="s">
        <v>32</v>
      </c>
    </row>
    <row r="32" customFormat="false" ht="15" hidden="false" customHeight="false" outlineLevel="0" collapsed="false">
      <c r="A32" s="7" t="s">
        <v>33</v>
      </c>
    </row>
    <row r="33" customFormat="false" ht="15" hidden="false" customHeight="false" outlineLevel="0" collapsed="false">
      <c r="A33" s="7" t="s">
        <v>34</v>
      </c>
    </row>
    <row r="34" customFormat="false" ht="15" hidden="false" customHeight="false" outlineLevel="0" collapsed="false">
      <c r="A34" s="7" t="s">
        <v>35</v>
      </c>
    </row>
    <row r="35" customFormat="false" ht="15" hidden="false" customHeight="false" outlineLevel="0" collapsed="false">
      <c r="A35" s="7" t="s">
        <v>36</v>
      </c>
    </row>
    <row r="36" customFormat="false" ht="15" hidden="false" customHeight="false" outlineLevel="0" collapsed="false">
      <c r="A36" s="7" t="s">
        <v>37</v>
      </c>
    </row>
    <row r="37" customFormat="false" ht="15" hidden="false" customHeight="false" outlineLevel="0" collapsed="false">
      <c r="A37" s="7" t="s">
        <v>38</v>
      </c>
    </row>
    <row r="38" customFormat="false" ht="15" hidden="false" customHeight="false" outlineLevel="0" collapsed="false">
      <c r="A38" s="7" t="s">
        <v>39</v>
      </c>
    </row>
  </sheetData>
  <mergeCells count="2">
    <mergeCell ref="A1:D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2" t="s">
        <v>40</v>
      </c>
      <c r="B1" s="12" t="s">
        <v>41</v>
      </c>
      <c r="C1" s="12" t="s">
        <v>18</v>
      </c>
      <c r="D1" s="12" t="s">
        <v>42</v>
      </c>
      <c r="E1" s="12" t="s">
        <v>43</v>
      </c>
      <c r="F1" s="12" t="s">
        <v>44</v>
      </c>
      <c r="G1" s="12" t="s">
        <v>45</v>
      </c>
    </row>
    <row r="2" customFormat="false" ht="15" hidden="false" customHeight="false" outlineLevel="0" collapsed="false">
      <c r="A2" s="13" t="s">
        <v>46</v>
      </c>
      <c r="B2" s="14" t="n">
        <v>29</v>
      </c>
      <c r="C2" s="15" t="n">
        <v>0.620689655172414</v>
      </c>
      <c r="D2" s="16" t="n">
        <v>19.9591768028722</v>
      </c>
      <c r="E2" s="16" t="n">
        <v>-0.233497393265067</v>
      </c>
      <c r="F2" s="16" t="n">
        <v>29.5873212543488</v>
      </c>
      <c r="G2" s="17" t="b">
        <f aca="false">FALSE()</f>
        <v>0</v>
      </c>
    </row>
    <row r="3" customFormat="false" ht="15" hidden="false" customHeight="false" outlineLevel="0" collapsed="false">
      <c r="A3" s="18" t="s">
        <v>47</v>
      </c>
      <c r="B3" s="19" t="n">
        <v>35</v>
      </c>
      <c r="C3" s="20" t="n">
        <v>0.628571428571429</v>
      </c>
      <c r="D3" s="21" t="n">
        <v>17.277486841236</v>
      </c>
      <c r="E3" s="21" t="n">
        <v>-0.384650014083717</v>
      </c>
      <c r="F3" s="21" t="n">
        <v>36.2932825657986</v>
      </c>
      <c r="G3" s="22" t="b">
        <f aca="false">FALSE()</f>
        <v>0</v>
      </c>
    </row>
    <row r="4" customFormat="false" ht="15" hidden="false" customHeight="false" outlineLevel="0" collapsed="false">
      <c r="A4" s="13" t="s">
        <v>48</v>
      </c>
      <c r="B4" s="14" t="n">
        <v>18</v>
      </c>
      <c r="C4" s="15" t="n">
        <v>0.388888888888889</v>
      </c>
      <c r="D4" s="16" t="n">
        <v>12.7972601230208</v>
      </c>
      <c r="E4" s="16" t="n">
        <v>-0.276919372724693</v>
      </c>
      <c r="F4" s="16" t="n">
        <v>6.20414131043516</v>
      </c>
      <c r="G4" s="17" t="b">
        <f aca="false">TRUE()</f>
        <v>1</v>
      </c>
    </row>
    <row r="5" customFormat="false" ht="15" hidden="false" customHeight="false" outlineLevel="0" collapsed="false">
      <c r="A5" s="18" t="s">
        <v>49</v>
      </c>
      <c r="B5" s="19" t="n">
        <v>40</v>
      </c>
      <c r="C5" s="20" t="n">
        <v>0.45</v>
      </c>
      <c r="D5" s="21" t="n">
        <v>10.1521445370424</v>
      </c>
      <c r="E5" s="21" t="n">
        <v>-0.311726849007632</v>
      </c>
      <c r="F5" s="21" t="n">
        <v>102.142032856551</v>
      </c>
      <c r="G5" s="22" t="b">
        <f aca="false">FALSE()</f>
        <v>0</v>
      </c>
    </row>
    <row r="6" customFormat="false" ht="15" hidden="false" customHeight="false" outlineLevel="0" collapsed="false">
      <c r="A6" s="13" t="s">
        <v>50</v>
      </c>
      <c r="B6" s="14" t="n">
        <v>25</v>
      </c>
      <c r="C6" s="15" t="n">
        <v>0.6</v>
      </c>
      <c r="D6" s="16" t="n">
        <v>7.94596869653434</v>
      </c>
      <c r="E6" s="16" t="n">
        <v>-0.330145375171103</v>
      </c>
      <c r="F6" s="16" t="n">
        <v>32.5156413839805</v>
      </c>
      <c r="G6" s="17" t="b">
        <f aca="false">FALSE()</f>
        <v>0</v>
      </c>
    </row>
    <row r="7" customFormat="false" ht="15" hidden="false" customHeight="false" outlineLevel="0" collapsed="false">
      <c r="A7" s="18" t="s">
        <v>51</v>
      </c>
      <c r="B7" s="19" t="n">
        <v>38</v>
      </c>
      <c r="C7" s="20" t="n">
        <v>0.473684210526316</v>
      </c>
      <c r="D7" s="21" t="n">
        <v>7.0509726308052</v>
      </c>
      <c r="E7" s="21" t="n">
        <v>-0.365557785575839</v>
      </c>
      <c r="F7" s="21" t="n">
        <v>176.238350441979</v>
      </c>
      <c r="G7" s="22" t="b">
        <f aca="false">FALSE()</f>
        <v>0</v>
      </c>
    </row>
    <row r="8" customFormat="false" ht="15" hidden="false" customHeight="false" outlineLevel="0" collapsed="false">
      <c r="A8" s="13" t="s">
        <v>52</v>
      </c>
      <c r="B8" s="14" t="n">
        <v>39</v>
      </c>
      <c r="C8" s="15" t="n">
        <v>0.461538461538462</v>
      </c>
      <c r="D8" s="16" t="n">
        <v>6.0938080496193</v>
      </c>
      <c r="E8" s="16" t="n">
        <v>-0.445035476333783</v>
      </c>
      <c r="F8" s="16" t="n">
        <v>20.0853728183779</v>
      </c>
      <c r="G8" s="17" t="b">
        <f aca="false">FALSE()</f>
        <v>0</v>
      </c>
    </row>
    <row r="9" customFormat="false" ht="15" hidden="false" customHeight="false" outlineLevel="0" collapsed="false">
      <c r="A9" s="18" t="s">
        <v>53</v>
      </c>
      <c r="B9" s="19" t="n">
        <v>19</v>
      </c>
      <c r="C9" s="20" t="n">
        <v>0.631578947368421</v>
      </c>
      <c r="D9" s="21" t="n">
        <v>4.83078066577439</v>
      </c>
      <c r="E9" s="21" t="n">
        <v>-0.308983617185897</v>
      </c>
      <c r="F9" s="21" t="n">
        <v>10.8079307819235</v>
      </c>
      <c r="G9" s="22" t="b">
        <f aca="false">FALSE()</f>
        <v>0</v>
      </c>
    </row>
    <row r="10" customFormat="false" ht="15" hidden="false" customHeight="false" outlineLevel="0" collapsed="false">
      <c r="A10" s="13" t="s">
        <v>54</v>
      </c>
      <c r="B10" s="14" t="n">
        <v>5</v>
      </c>
      <c r="C10" s="15" t="n">
        <v>0.6</v>
      </c>
      <c r="D10" s="16" t="n">
        <v>4.23344804642617</v>
      </c>
      <c r="E10" s="16" t="n">
        <v>-0.0788736577604053</v>
      </c>
      <c r="F10" s="16" t="n">
        <v>59.6875</v>
      </c>
      <c r="G10" s="17" t="b">
        <f aca="false">FALSE()</f>
        <v>0</v>
      </c>
    </row>
    <row r="11" customFormat="false" ht="15" hidden="false" customHeight="false" outlineLevel="0" collapsed="false">
      <c r="A11" s="18" t="s">
        <v>55</v>
      </c>
      <c r="B11" s="19" t="n">
        <v>21</v>
      </c>
      <c r="C11" s="20" t="n">
        <v>0.476190476190476</v>
      </c>
      <c r="D11" s="21" t="n">
        <v>4.21347455798027</v>
      </c>
      <c r="E11" s="21" t="n">
        <v>-0.379777234813318</v>
      </c>
      <c r="F11" s="21" t="n">
        <v>12.5231580232319</v>
      </c>
      <c r="G11" s="22" t="b">
        <f aca="false">FALSE()</f>
        <v>0</v>
      </c>
    </row>
    <row r="12" customFormat="false" ht="15" hidden="false" customHeight="false" outlineLevel="0" collapsed="false">
      <c r="A12" s="13" t="s">
        <v>56</v>
      </c>
      <c r="B12" s="14" t="n">
        <v>41</v>
      </c>
      <c r="C12" s="15" t="n">
        <v>0.536585365853659</v>
      </c>
      <c r="D12" s="16" t="n">
        <v>3.89204863381929</v>
      </c>
      <c r="E12" s="16" t="n">
        <v>-0.313111661738737</v>
      </c>
      <c r="F12" s="16" t="n">
        <v>9.84957785481759</v>
      </c>
      <c r="G12" s="17" t="b">
        <f aca="false">FALSE()</f>
        <v>0</v>
      </c>
    </row>
    <row r="13" customFormat="false" ht="15" hidden="false" customHeight="false" outlineLevel="0" collapsed="false">
      <c r="A13" s="18" t="s">
        <v>57</v>
      </c>
      <c r="B13" s="19" t="n">
        <v>37</v>
      </c>
      <c r="C13" s="20" t="n">
        <v>0.486486486486487</v>
      </c>
      <c r="D13" s="21" t="n">
        <v>3.85645823998168</v>
      </c>
      <c r="E13" s="21" t="n">
        <v>-0.230157589502059</v>
      </c>
      <c r="F13" s="21" t="n">
        <v>7.44206787713729</v>
      </c>
      <c r="G13" s="22" t="b">
        <f aca="false">FALSE()</f>
        <v>0</v>
      </c>
    </row>
    <row r="14" customFormat="false" ht="15" hidden="false" customHeight="false" outlineLevel="0" collapsed="false">
      <c r="A14" s="13" t="s">
        <v>58</v>
      </c>
      <c r="B14" s="14" t="n">
        <v>38</v>
      </c>
      <c r="C14" s="15" t="n">
        <v>0.5</v>
      </c>
      <c r="D14" s="16" t="n">
        <v>3.79122045576357</v>
      </c>
      <c r="E14" s="16" t="n">
        <v>-0.349418868513887</v>
      </c>
      <c r="F14" s="16" t="n">
        <v>16.4605044131222</v>
      </c>
      <c r="G14" s="17" t="b">
        <f aca="false">FALSE()</f>
        <v>0</v>
      </c>
    </row>
    <row r="15" customFormat="false" ht="15" hidden="false" customHeight="false" outlineLevel="0" collapsed="false">
      <c r="A15" s="18" t="s">
        <v>59</v>
      </c>
      <c r="B15" s="19" t="n">
        <v>35</v>
      </c>
      <c r="C15" s="20" t="n">
        <v>0.6</v>
      </c>
      <c r="D15" s="21" t="n">
        <v>3.55642592982884</v>
      </c>
      <c r="E15" s="21" t="n">
        <v>-0.384571522635338</v>
      </c>
      <c r="F15" s="21" t="n">
        <v>50.0965528384816</v>
      </c>
      <c r="G15" s="22" t="b">
        <f aca="false">FALSE()</f>
        <v>0</v>
      </c>
    </row>
    <row r="16" customFormat="false" ht="15" hidden="false" customHeight="false" outlineLevel="0" collapsed="false">
      <c r="A16" s="13" t="s">
        <v>60</v>
      </c>
      <c r="B16" s="14" t="n">
        <v>35</v>
      </c>
      <c r="C16" s="15" t="n">
        <v>0.628571428571429</v>
      </c>
      <c r="D16" s="16" t="n">
        <v>3.48340046662332</v>
      </c>
      <c r="E16" s="16" t="n">
        <v>-0.351092680416677</v>
      </c>
      <c r="F16" s="16" t="n">
        <v>12.6219927736156</v>
      </c>
      <c r="G16" s="17" t="b">
        <f aca="false">FALSE()</f>
        <v>0</v>
      </c>
    </row>
    <row r="17" customFormat="false" ht="15" hidden="false" customHeight="false" outlineLevel="0" collapsed="false">
      <c r="A17" s="18" t="s">
        <v>61</v>
      </c>
      <c r="B17" s="19" t="n">
        <v>41</v>
      </c>
      <c r="C17" s="20" t="n">
        <v>0.536585365853659</v>
      </c>
      <c r="D17" s="21" t="n">
        <v>3.09926254202704</v>
      </c>
      <c r="E17" s="21" t="n">
        <v>-0.235632776958077</v>
      </c>
      <c r="F17" s="21" t="n">
        <v>32.7760394451302</v>
      </c>
      <c r="G17" s="22" t="b">
        <f aca="false">FALSE()</f>
        <v>0</v>
      </c>
    </row>
    <row r="18" customFormat="false" ht="15" hidden="false" customHeight="false" outlineLevel="0" collapsed="false">
      <c r="A18" s="13" t="s">
        <v>62</v>
      </c>
      <c r="B18" s="14" t="n">
        <v>37</v>
      </c>
      <c r="C18" s="15" t="n">
        <v>0.540540540540541</v>
      </c>
      <c r="D18" s="16" t="n">
        <v>2.92701764723155</v>
      </c>
      <c r="E18" s="16" t="n">
        <v>-0.316194192141523</v>
      </c>
      <c r="F18" s="16" t="n">
        <v>39.880849423088</v>
      </c>
      <c r="G18" s="17" t="b">
        <f aca="false">FALSE()</f>
        <v>0</v>
      </c>
    </row>
    <row r="19" customFormat="false" ht="15" hidden="false" customHeight="false" outlineLevel="0" collapsed="false">
      <c r="A19" s="18" t="s">
        <v>63</v>
      </c>
      <c r="B19" s="19" t="n">
        <v>38</v>
      </c>
      <c r="C19" s="20" t="n">
        <v>0.578947368421053</v>
      </c>
      <c r="D19" s="21" t="n">
        <v>2.91835841925908</v>
      </c>
      <c r="E19" s="21" t="n">
        <v>-0.128709797818494</v>
      </c>
      <c r="F19" s="21" t="n">
        <v>6.18029505960104</v>
      </c>
      <c r="G19" s="22" t="b">
        <f aca="false">FALSE()</f>
        <v>0</v>
      </c>
    </row>
    <row r="20" customFormat="false" ht="15" hidden="false" customHeight="false" outlineLevel="0" collapsed="false">
      <c r="A20" s="13" t="s">
        <v>64</v>
      </c>
      <c r="B20" s="14" t="n">
        <v>42</v>
      </c>
      <c r="C20" s="15" t="n">
        <v>0.380952380952381</v>
      </c>
      <c r="D20" s="16" t="n">
        <v>2.6993679974132</v>
      </c>
      <c r="E20" s="16" t="n">
        <v>-0.620330184149162</v>
      </c>
      <c r="F20" s="16" t="n">
        <v>65.2317781049248</v>
      </c>
      <c r="G20" s="17" t="b">
        <f aca="false">FALSE()</f>
        <v>0</v>
      </c>
    </row>
    <row r="21" customFormat="false" ht="15" hidden="false" customHeight="false" outlineLevel="0" collapsed="false">
      <c r="A21" s="18" t="s">
        <v>65</v>
      </c>
      <c r="B21" s="19" t="n">
        <v>41</v>
      </c>
      <c r="C21" s="20" t="n">
        <v>0.536585365853659</v>
      </c>
      <c r="D21" s="21" t="n">
        <v>2.69165637283074</v>
      </c>
      <c r="E21" s="21" t="n">
        <v>-0.288685171363224</v>
      </c>
      <c r="F21" s="21" t="n">
        <v>11.0690215848822</v>
      </c>
      <c r="G21" s="22" t="b">
        <f aca="false">FALSE()</f>
        <v>0</v>
      </c>
    </row>
    <row r="22" customFormat="false" ht="15" hidden="false" customHeight="false" outlineLevel="0" collapsed="false">
      <c r="A22" s="13" t="s">
        <v>66</v>
      </c>
      <c r="B22" s="14" t="n">
        <v>34</v>
      </c>
      <c r="C22" s="15" t="n">
        <v>0.588235294117647</v>
      </c>
      <c r="D22" s="16" t="n">
        <v>2.44491114176503</v>
      </c>
      <c r="E22" s="16" t="n">
        <v>-0.158642407822729</v>
      </c>
      <c r="F22" s="16" t="n">
        <v>5.70505532657629</v>
      </c>
      <c r="G22" s="17" t="b">
        <f aca="false">FALSE()</f>
        <v>0</v>
      </c>
    </row>
    <row r="23" customFormat="false" ht="15" hidden="false" customHeight="false" outlineLevel="0" collapsed="false">
      <c r="A23" s="18" t="s">
        <v>67</v>
      </c>
      <c r="B23" s="19" t="n">
        <v>39</v>
      </c>
      <c r="C23" s="20" t="n">
        <v>0.435897435897436</v>
      </c>
      <c r="D23" s="21" t="n">
        <v>2.0357940815967</v>
      </c>
      <c r="E23" s="21" t="n">
        <v>-0.494457233558475</v>
      </c>
      <c r="F23" s="21" t="n">
        <v>21.3840030464808</v>
      </c>
      <c r="G23" s="22" t="b">
        <f aca="false">FALSE()</f>
        <v>0</v>
      </c>
    </row>
    <row r="24" customFormat="false" ht="15" hidden="false" customHeight="false" outlineLevel="0" collapsed="false">
      <c r="A24" s="13" t="s">
        <v>68</v>
      </c>
      <c r="B24" s="14" t="n">
        <v>39</v>
      </c>
      <c r="C24" s="15" t="n">
        <v>0.435897435897436</v>
      </c>
      <c r="D24" s="16" t="n">
        <v>1.84001473115041</v>
      </c>
      <c r="E24" s="16" t="n">
        <v>-0.398222016167755</v>
      </c>
      <c r="F24" s="16" t="n">
        <v>21.8332660722096</v>
      </c>
      <c r="G24" s="17" t="b">
        <f aca="false">FALSE()</f>
        <v>0</v>
      </c>
    </row>
    <row r="25" customFormat="false" ht="15" hidden="false" customHeight="false" outlineLevel="0" collapsed="false">
      <c r="A25" s="18" t="s">
        <v>69</v>
      </c>
      <c r="B25" s="19" t="n">
        <v>37</v>
      </c>
      <c r="C25" s="20" t="n">
        <v>0.567567567567568</v>
      </c>
      <c r="D25" s="21" t="n">
        <v>1.71858471401987</v>
      </c>
      <c r="E25" s="21" t="n">
        <v>-0.16949372884819</v>
      </c>
      <c r="F25" s="21" t="n">
        <v>1.77359585634025</v>
      </c>
      <c r="G25" s="22" t="b">
        <f aca="false">FALSE()</f>
        <v>0</v>
      </c>
    </row>
    <row r="26" customFormat="false" ht="15" hidden="false" customHeight="false" outlineLevel="0" collapsed="false">
      <c r="A26" s="13" t="s">
        <v>70</v>
      </c>
      <c r="B26" s="14" t="n">
        <v>39</v>
      </c>
      <c r="C26" s="15" t="n">
        <v>0.538461538461538</v>
      </c>
      <c r="D26" s="16" t="n">
        <v>1.66711810908419</v>
      </c>
      <c r="E26" s="16" t="n">
        <v>-0.376446766800186</v>
      </c>
      <c r="F26" s="16" t="n">
        <v>14.8166129065723</v>
      </c>
      <c r="G26" s="17" t="b">
        <f aca="false">FALSE()</f>
        <v>0</v>
      </c>
    </row>
    <row r="27" customFormat="false" ht="15" hidden="false" customHeight="false" outlineLevel="0" collapsed="false">
      <c r="A27" s="18" t="s">
        <v>71</v>
      </c>
      <c r="B27" s="19" t="n">
        <v>42</v>
      </c>
      <c r="C27" s="20" t="n">
        <v>0.5</v>
      </c>
      <c r="D27" s="21" t="n">
        <v>1.41692909791448</v>
      </c>
      <c r="E27" s="21" t="n">
        <v>-0.536212983036886</v>
      </c>
      <c r="F27" s="21" t="n">
        <v>11.105591370286</v>
      </c>
      <c r="G27" s="22" t="b">
        <f aca="false">FALSE()</f>
        <v>0</v>
      </c>
    </row>
    <row r="28" customFormat="false" ht="15" hidden="false" customHeight="false" outlineLevel="0" collapsed="false">
      <c r="A28" s="13" t="s">
        <v>72</v>
      </c>
      <c r="B28" s="14" t="n">
        <v>42</v>
      </c>
      <c r="C28" s="15" t="n">
        <v>0.452380952380952</v>
      </c>
      <c r="D28" s="16" t="n">
        <v>1.26459750924277</v>
      </c>
      <c r="E28" s="16" t="n">
        <v>-0.415345875417951</v>
      </c>
      <c r="F28" s="16" t="n">
        <v>4.33179844381519</v>
      </c>
      <c r="G28" s="17" t="b">
        <f aca="false">FALSE()</f>
        <v>0</v>
      </c>
    </row>
    <row r="29" customFormat="false" ht="15" hidden="false" customHeight="false" outlineLevel="0" collapsed="false">
      <c r="A29" s="18" t="s">
        <v>73</v>
      </c>
      <c r="B29" s="19" t="n">
        <v>42</v>
      </c>
      <c r="C29" s="20" t="n">
        <v>0.428571428571429</v>
      </c>
      <c r="D29" s="21" t="n">
        <v>1.22497011487861</v>
      </c>
      <c r="E29" s="21" t="n">
        <v>-0.433126601105183</v>
      </c>
      <c r="F29" s="21" t="n">
        <v>14.7347685395327</v>
      </c>
      <c r="G29" s="22" t="b">
        <f aca="false">FALSE()</f>
        <v>0</v>
      </c>
    </row>
    <row r="30" customFormat="false" ht="15" hidden="false" customHeight="false" outlineLevel="0" collapsed="false">
      <c r="A30" s="13" t="s">
        <v>74</v>
      </c>
      <c r="B30" s="14" t="n">
        <v>14</v>
      </c>
      <c r="C30" s="15" t="n">
        <v>0.571428571428571</v>
      </c>
      <c r="D30" s="16" t="n">
        <v>1.2030573046997</v>
      </c>
      <c r="E30" s="16" t="n">
        <v>-0.21507110777328</v>
      </c>
      <c r="F30" s="16" t="n">
        <v>5.7682267692608</v>
      </c>
      <c r="G30" s="17" t="b">
        <f aca="false">FALSE()</f>
        <v>0</v>
      </c>
    </row>
    <row r="31" customFormat="false" ht="15" hidden="false" customHeight="false" outlineLevel="0" collapsed="false">
      <c r="A31" s="18" t="s">
        <v>75</v>
      </c>
      <c r="B31" s="19" t="n">
        <v>35</v>
      </c>
      <c r="C31" s="20" t="n">
        <v>0.514285714285714</v>
      </c>
      <c r="D31" s="21" t="n">
        <v>1.19145262992413</v>
      </c>
      <c r="E31" s="21" t="n">
        <v>-0.403634860071609</v>
      </c>
      <c r="F31" s="21" t="n">
        <v>12.6334778671358</v>
      </c>
      <c r="G31" s="22" t="b">
        <f aca="false">FALSE()</f>
        <v>0</v>
      </c>
    </row>
    <row r="32" customFormat="false" ht="15" hidden="false" customHeight="false" outlineLevel="0" collapsed="false">
      <c r="A32" s="13" t="s">
        <v>76</v>
      </c>
      <c r="B32" s="14" t="n">
        <v>36</v>
      </c>
      <c r="C32" s="15" t="n">
        <v>0.527777777777778</v>
      </c>
      <c r="D32" s="16" t="n">
        <v>1.18636567676969</v>
      </c>
      <c r="E32" s="16" t="n">
        <v>-0.513477030259905</v>
      </c>
      <c r="F32" s="16" t="n">
        <v>27.0674145333808</v>
      </c>
      <c r="G32" s="17" t="b">
        <f aca="false">FALSE()</f>
        <v>0</v>
      </c>
    </row>
    <row r="33" customFormat="false" ht="15" hidden="false" customHeight="false" outlineLevel="0" collapsed="false">
      <c r="A33" s="18" t="s">
        <v>77</v>
      </c>
      <c r="B33" s="19" t="n">
        <v>39</v>
      </c>
      <c r="C33" s="20" t="n">
        <v>0.564102564102564</v>
      </c>
      <c r="D33" s="21" t="n">
        <v>1.17299186628077</v>
      </c>
      <c r="E33" s="21" t="n">
        <v>-0.251536227052012</v>
      </c>
      <c r="F33" s="21" t="n">
        <v>9.56320408845168</v>
      </c>
      <c r="G33" s="22" t="b">
        <f aca="false">FALSE()</f>
        <v>0</v>
      </c>
    </row>
    <row r="34" customFormat="false" ht="15" hidden="false" customHeight="false" outlineLevel="0" collapsed="false">
      <c r="A34" s="13" t="s">
        <v>78</v>
      </c>
      <c r="B34" s="14" t="n">
        <v>36</v>
      </c>
      <c r="C34" s="15" t="n">
        <v>0.583333333333333</v>
      </c>
      <c r="D34" s="16" t="n">
        <v>1.13727739987867</v>
      </c>
      <c r="E34" s="16" t="n">
        <v>-0.30538037233885</v>
      </c>
      <c r="F34" s="16" t="n">
        <v>7.2666728284587</v>
      </c>
      <c r="G34" s="17" t="b">
        <f aca="false">FALSE()</f>
        <v>0</v>
      </c>
    </row>
    <row r="35" customFormat="false" ht="15" hidden="false" customHeight="false" outlineLevel="0" collapsed="false">
      <c r="A35" s="18" t="s">
        <v>79</v>
      </c>
      <c r="B35" s="19" t="n">
        <v>39</v>
      </c>
      <c r="C35" s="20" t="n">
        <v>0.461538461538462</v>
      </c>
      <c r="D35" s="21" t="n">
        <v>1.09795758737924</v>
      </c>
      <c r="E35" s="21" t="n">
        <v>-0.304560899253549</v>
      </c>
      <c r="F35" s="21" t="n">
        <v>7.82467878849798</v>
      </c>
      <c r="G35" s="22" t="b">
        <f aca="false">FALSE()</f>
        <v>0</v>
      </c>
    </row>
    <row r="36" customFormat="false" ht="15" hidden="false" customHeight="false" outlineLevel="0" collapsed="false">
      <c r="A36" s="13" t="s">
        <v>80</v>
      </c>
      <c r="B36" s="14" t="n">
        <v>34</v>
      </c>
      <c r="C36" s="15" t="n">
        <v>0.470588235294118</v>
      </c>
      <c r="D36" s="16" t="n">
        <v>1.07460230224693</v>
      </c>
      <c r="E36" s="16" t="n">
        <v>-0.505277485659968</v>
      </c>
      <c r="F36" s="16" t="n">
        <v>0.82757407025056</v>
      </c>
      <c r="G36" s="17" t="b">
        <f aca="false">TRUE()</f>
        <v>1</v>
      </c>
    </row>
    <row r="37" customFormat="false" ht="15" hidden="false" customHeight="false" outlineLevel="0" collapsed="false">
      <c r="A37" s="18" t="s">
        <v>81</v>
      </c>
      <c r="B37" s="19" t="n">
        <v>44</v>
      </c>
      <c r="C37" s="20" t="n">
        <v>0.477272727272727</v>
      </c>
      <c r="D37" s="21" t="n">
        <v>1.03046556860698</v>
      </c>
      <c r="E37" s="21" t="n">
        <v>-0.713337771628296</v>
      </c>
      <c r="F37" s="21" t="n">
        <v>81.7561601966759</v>
      </c>
      <c r="G37" s="22" t="b">
        <f aca="false">FALSE()</f>
        <v>0</v>
      </c>
    </row>
    <row r="38" customFormat="false" ht="15" hidden="false" customHeight="false" outlineLevel="0" collapsed="false">
      <c r="A38" s="13" t="s">
        <v>82</v>
      </c>
      <c r="B38" s="14" t="n">
        <v>37</v>
      </c>
      <c r="C38" s="15" t="n">
        <v>0.486486486486487</v>
      </c>
      <c r="D38" s="16" t="n">
        <v>0.995189235157673</v>
      </c>
      <c r="E38" s="16" t="n">
        <v>-0.445203608531559</v>
      </c>
      <c r="F38" s="16" t="n">
        <v>3.34062868785935</v>
      </c>
      <c r="G38" s="17" t="b">
        <f aca="false">FALSE()</f>
        <v>0</v>
      </c>
    </row>
    <row r="39" customFormat="false" ht="15" hidden="false" customHeight="false" outlineLevel="0" collapsed="false">
      <c r="A39" s="18" t="s">
        <v>83</v>
      </c>
      <c r="B39" s="19" t="n">
        <v>40</v>
      </c>
      <c r="C39" s="20" t="n">
        <v>0.45</v>
      </c>
      <c r="D39" s="21" t="n">
        <v>0.966989550996524</v>
      </c>
      <c r="E39" s="21" t="n">
        <v>-0.524641858859797</v>
      </c>
      <c r="F39" s="21" t="n">
        <v>1.66982512627061</v>
      </c>
      <c r="G39" s="22" t="b">
        <f aca="false">FALSE()</f>
        <v>0</v>
      </c>
    </row>
    <row r="40" customFormat="false" ht="15" hidden="false" customHeight="false" outlineLevel="0" collapsed="false">
      <c r="A40" s="13" t="s">
        <v>84</v>
      </c>
      <c r="B40" s="14" t="n">
        <v>31</v>
      </c>
      <c r="C40" s="15" t="n">
        <v>0.548387096774194</v>
      </c>
      <c r="D40" s="16" t="n">
        <v>0.923246506270752</v>
      </c>
      <c r="E40" s="16" t="n">
        <v>-0.255008200017447</v>
      </c>
      <c r="F40" s="16" t="n">
        <v>-0.438653417094838</v>
      </c>
      <c r="G40" s="17" t="b">
        <f aca="false">TRUE()</f>
        <v>1</v>
      </c>
    </row>
    <row r="41" customFormat="false" ht="15" hidden="false" customHeight="false" outlineLevel="0" collapsed="false">
      <c r="A41" s="18" t="s">
        <v>85</v>
      </c>
      <c r="B41" s="19" t="n">
        <v>36</v>
      </c>
      <c r="C41" s="20" t="n">
        <v>0.472222222222222</v>
      </c>
      <c r="D41" s="21" t="n">
        <v>0.893752007117895</v>
      </c>
      <c r="E41" s="21" t="n">
        <v>-0.35530423887554</v>
      </c>
      <c r="F41" s="21" t="n">
        <v>4.05986077744254</v>
      </c>
      <c r="G41" s="22" t="b">
        <f aca="false">FALSE()</f>
        <v>0</v>
      </c>
    </row>
    <row r="42" customFormat="false" ht="15" hidden="false" customHeight="false" outlineLevel="0" collapsed="false">
      <c r="A42" s="13" t="s">
        <v>86</v>
      </c>
      <c r="B42" s="14" t="n">
        <v>38</v>
      </c>
      <c r="C42" s="15" t="n">
        <v>0.447368421052632</v>
      </c>
      <c r="D42" s="16" t="n">
        <v>0.863426177430012</v>
      </c>
      <c r="E42" s="16" t="n">
        <v>-0.179925850569158</v>
      </c>
      <c r="F42" s="16" t="n">
        <v>1.31705915263361</v>
      </c>
      <c r="G42" s="17" t="b">
        <f aca="false">FALSE()</f>
        <v>0</v>
      </c>
    </row>
    <row r="43" customFormat="false" ht="15" hidden="false" customHeight="false" outlineLevel="0" collapsed="false">
      <c r="A43" s="18" t="s">
        <v>87</v>
      </c>
      <c r="B43" s="19" t="n">
        <v>45</v>
      </c>
      <c r="C43" s="20" t="n">
        <v>0.533333333333333</v>
      </c>
      <c r="D43" s="21" t="n">
        <v>0.86203848918098</v>
      </c>
      <c r="E43" s="21" t="n">
        <v>-0.236513295989704</v>
      </c>
      <c r="F43" s="21" t="n">
        <v>4.78761194668198</v>
      </c>
      <c r="G43" s="22" t="b">
        <f aca="false">FALSE()</f>
        <v>0</v>
      </c>
    </row>
    <row r="44" customFormat="false" ht="15" hidden="false" customHeight="false" outlineLevel="0" collapsed="false">
      <c r="A44" s="13" t="s">
        <v>88</v>
      </c>
      <c r="B44" s="14" t="n">
        <v>38</v>
      </c>
      <c r="C44" s="15" t="n">
        <v>0.447368421052632</v>
      </c>
      <c r="D44" s="16" t="n">
        <v>0.861432376440435</v>
      </c>
      <c r="E44" s="16" t="n">
        <v>-0.771413686368137</v>
      </c>
      <c r="F44" s="16" t="n">
        <v>18.6752536532953</v>
      </c>
      <c r="G44" s="17" t="b">
        <f aca="false">FALSE()</f>
        <v>0</v>
      </c>
    </row>
    <row r="45" customFormat="false" ht="15" hidden="false" customHeight="false" outlineLevel="0" collapsed="false">
      <c r="A45" s="18" t="s">
        <v>89</v>
      </c>
      <c r="B45" s="19" t="n">
        <v>21</v>
      </c>
      <c r="C45" s="20" t="n">
        <v>0.333333333333333</v>
      </c>
      <c r="D45" s="21" t="n">
        <v>0.833477944623554</v>
      </c>
      <c r="E45" s="21" t="n">
        <v>-0.614607182630873</v>
      </c>
      <c r="F45" s="21" t="n">
        <v>2.10597364944707</v>
      </c>
      <c r="G45" s="22" t="b">
        <f aca="false">FALSE()</f>
        <v>0</v>
      </c>
    </row>
    <row r="46" customFormat="false" ht="15" hidden="false" customHeight="false" outlineLevel="0" collapsed="false">
      <c r="A46" s="13" t="s">
        <v>90</v>
      </c>
      <c r="B46" s="14" t="n">
        <v>36</v>
      </c>
      <c r="C46" s="15" t="n">
        <v>0.361111111111111</v>
      </c>
      <c r="D46" s="16" t="n">
        <v>0.798617137256709</v>
      </c>
      <c r="E46" s="16" t="n">
        <v>-0.350101258304118</v>
      </c>
      <c r="F46" s="16" t="n">
        <v>2.21452997814974</v>
      </c>
      <c r="G46" s="17" t="b">
        <f aca="false">FALSE()</f>
        <v>0</v>
      </c>
    </row>
    <row r="47" customFormat="false" ht="15" hidden="false" customHeight="false" outlineLevel="0" collapsed="false">
      <c r="A47" s="18" t="s">
        <v>91</v>
      </c>
      <c r="B47" s="19" t="n">
        <v>41</v>
      </c>
      <c r="C47" s="20" t="n">
        <v>0.463414634146342</v>
      </c>
      <c r="D47" s="21" t="n">
        <v>0.788862312386778</v>
      </c>
      <c r="E47" s="21" t="n">
        <v>-0.268765659670144</v>
      </c>
      <c r="F47" s="21" t="n">
        <v>4.24141395368619</v>
      </c>
      <c r="G47" s="22" t="b">
        <f aca="false">FALSE()</f>
        <v>0</v>
      </c>
    </row>
    <row r="48" customFormat="false" ht="15" hidden="false" customHeight="false" outlineLevel="0" collapsed="false">
      <c r="A48" s="13" t="s">
        <v>92</v>
      </c>
      <c r="B48" s="14" t="n">
        <v>38</v>
      </c>
      <c r="C48" s="15" t="n">
        <v>0.578947368421053</v>
      </c>
      <c r="D48" s="16" t="n">
        <v>0.781530884975538</v>
      </c>
      <c r="E48" s="16" t="n">
        <v>-0.277191958387184</v>
      </c>
      <c r="F48" s="16" t="n">
        <v>9.38771917961908</v>
      </c>
      <c r="G48" s="17" t="b">
        <f aca="false">FALSE()</f>
        <v>0</v>
      </c>
    </row>
    <row r="49" customFormat="false" ht="15" hidden="false" customHeight="false" outlineLevel="0" collapsed="false">
      <c r="A49" s="18" t="s">
        <v>93</v>
      </c>
      <c r="B49" s="19" t="n">
        <v>38</v>
      </c>
      <c r="C49" s="20" t="n">
        <v>0.447368421052632</v>
      </c>
      <c r="D49" s="21" t="n">
        <v>0.730163845292553</v>
      </c>
      <c r="E49" s="21" t="n">
        <v>-0.525249096776394</v>
      </c>
      <c r="F49" s="21" t="n">
        <v>2.5086431993795</v>
      </c>
      <c r="G49" s="22" t="b">
        <f aca="false">FALSE()</f>
        <v>0</v>
      </c>
    </row>
    <row r="50" customFormat="false" ht="15" hidden="false" customHeight="false" outlineLevel="0" collapsed="false">
      <c r="A50" s="13" t="s">
        <v>94</v>
      </c>
      <c r="B50" s="14" t="n">
        <v>37</v>
      </c>
      <c r="C50" s="15" t="n">
        <v>0.540540540540541</v>
      </c>
      <c r="D50" s="16" t="n">
        <v>0.641967921015359</v>
      </c>
      <c r="E50" s="16" t="n">
        <v>-0.179960363667216</v>
      </c>
      <c r="F50" s="16" t="n">
        <v>2.3179357209583</v>
      </c>
      <c r="G50" s="17" t="b">
        <f aca="false">FALSE()</f>
        <v>0</v>
      </c>
    </row>
    <row r="51" customFormat="false" ht="15" hidden="false" customHeight="false" outlineLevel="0" collapsed="false">
      <c r="A51" s="18" t="s">
        <v>95</v>
      </c>
      <c r="B51" s="19" t="n">
        <v>35</v>
      </c>
      <c r="C51" s="20" t="n">
        <v>0.457142857142857</v>
      </c>
      <c r="D51" s="21" t="n">
        <v>0.600358291199762</v>
      </c>
      <c r="E51" s="21" t="n">
        <v>-0.497384483031073</v>
      </c>
      <c r="F51" s="21" t="n">
        <v>4.48584591161863</v>
      </c>
      <c r="G51" s="22" t="b">
        <f aca="false">FALSE()</f>
        <v>0</v>
      </c>
    </row>
    <row r="52" customFormat="false" ht="15" hidden="false" customHeight="false" outlineLevel="0" collapsed="false">
      <c r="A52" s="13" t="s">
        <v>96</v>
      </c>
      <c r="B52" s="14" t="n">
        <v>38</v>
      </c>
      <c r="C52" s="15" t="n">
        <v>0.342105263157895</v>
      </c>
      <c r="D52" s="16" t="n">
        <v>0.596900078344978</v>
      </c>
      <c r="E52" s="16" t="n">
        <v>-0.648232641779254</v>
      </c>
      <c r="F52" s="16" t="n">
        <v>11.3221888709974</v>
      </c>
      <c r="G52" s="17" t="b">
        <f aca="false">FALSE()</f>
        <v>0</v>
      </c>
    </row>
    <row r="53" customFormat="false" ht="15" hidden="false" customHeight="false" outlineLevel="0" collapsed="false">
      <c r="A53" s="18" t="s">
        <v>97</v>
      </c>
      <c r="B53" s="19" t="n">
        <v>40</v>
      </c>
      <c r="C53" s="20" t="n">
        <v>0.525</v>
      </c>
      <c r="D53" s="21" t="n">
        <v>0.581352610140505</v>
      </c>
      <c r="E53" s="21" t="n">
        <v>-0.461297949334302</v>
      </c>
      <c r="F53" s="21" t="n">
        <v>5.76905602619995</v>
      </c>
      <c r="G53" s="22" t="b">
        <f aca="false">FALSE()</f>
        <v>0</v>
      </c>
    </row>
    <row r="54" customFormat="false" ht="15" hidden="false" customHeight="false" outlineLevel="0" collapsed="false">
      <c r="A54" s="13" t="s">
        <v>98</v>
      </c>
      <c r="B54" s="14" t="n">
        <v>42</v>
      </c>
      <c r="C54" s="15" t="n">
        <v>0.452380952380952</v>
      </c>
      <c r="D54" s="16" t="n">
        <v>0.568648759623516</v>
      </c>
      <c r="E54" s="16" t="n">
        <v>-0.316217581449031</v>
      </c>
      <c r="F54" s="16" t="n">
        <v>7.31937010933132</v>
      </c>
      <c r="G54" s="17" t="b">
        <f aca="false">FALSE()</f>
        <v>0</v>
      </c>
    </row>
    <row r="55" customFormat="false" ht="15" hidden="false" customHeight="false" outlineLevel="0" collapsed="false">
      <c r="A55" s="18" t="s">
        <v>99</v>
      </c>
      <c r="B55" s="19" t="n">
        <v>40</v>
      </c>
      <c r="C55" s="20" t="n">
        <v>0.525</v>
      </c>
      <c r="D55" s="21" t="n">
        <v>0.51205132802853</v>
      </c>
      <c r="E55" s="21" t="n">
        <v>-0.233031102332552</v>
      </c>
      <c r="F55" s="21" t="n">
        <v>1.69039904383269</v>
      </c>
      <c r="G55" s="22" t="b">
        <f aca="false">FALSE()</f>
        <v>0</v>
      </c>
    </row>
    <row r="56" customFormat="false" ht="15" hidden="false" customHeight="false" outlineLevel="0" collapsed="false">
      <c r="A56" s="13" t="s">
        <v>100</v>
      </c>
      <c r="B56" s="14" t="n">
        <v>42</v>
      </c>
      <c r="C56" s="15" t="n">
        <v>0.5</v>
      </c>
      <c r="D56" s="16" t="n">
        <v>0.494001602860744</v>
      </c>
      <c r="E56" s="16" t="n">
        <v>-0.236473040846624</v>
      </c>
      <c r="F56" s="16" t="n">
        <v>1.9873763004228</v>
      </c>
      <c r="G56" s="17" t="b">
        <f aca="false">FALSE()</f>
        <v>0</v>
      </c>
    </row>
    <row r="57" customFormat="false" ht="15" hidden="false" customHeight="false" outlineLevel="0" collapsed="false">
      <c r="A57" s="18" t="s">
        <v>101</v>
      </c>
      <c r="B57" s="19" t="n">
        <v>42</v>
      </c>
      <c r="C57" s="20" t="n">
        <v>0.404761904761905</v>
      </c>
      <c r="D57" s="21" t="n">
        <v>0.482543221869917</v>
      </c>
      <c r="E57" s="21" t="n">
        <v>-0.526943182406849</v>
      </c>
      <c r="F57" s="21" t="n">
        <v>1.26464102553862</v>
      </c>
      <c r="G57" s="22" t="b">
        <f aca="false">FALSE()</f>
        <v>0</v>
      </c>
    </row>
    <row r="58" customFormat="false" ht="15" hidden="false" customHeight="false" outlineLevel="0" collapsed="false">
      <c r="A58" s="13" t="s">
        <v>102</v>
      </c>
      <c r="B58" s="14" t="n">
        <v>44</v>
      </c>
      <c r="C58" s="15" t="n">
        <v>0.431818181818182</v>
      </c>
      <c r="D58" s="16" t="n">
        <v>0.48034318373938</v>
      </c>
      <c r="E58" s="16" t="n">
        <v>-0.253345037068146</v>
      </c>
      <c r="F58" s="16" t="n">
        <v>3.35019430941601</v>
      </c>
      <c r="G58" s="17" t="b">
        <f aca="false">FALSE()</f>
        <v>0</v>
      </c>
    </row>
    <row r="59" customFormat="false" ht="15" hidden="false" customHeight="false" outlineLevel="0" collapsed="false">
      <c r="A59" s="18" t="s">
        <v>103</v>
      </c>
      <c r="B59" s="19" t="n">
        <v>36</v>
      </c>
      <c r="C59" s="20" t="n">
        <v>0.388888888888889</v>
      </c>
      <c r="D59" s="21" t="n">
        <v>0.474735889722739</v>
      </c>
      <c r="E59" s="21" t="n">
        <v>-0.180050301439655</v>
      </c>
      <c r="F59" s="21" t="n">
        <v>1.2813503084287</v>
      </c>
      <c r="G59" s="22" t="b">
        <f aca="false">FALSE()</f>
        <v>0</v>
      </c>
    </row>
    <row r="60" customFormat="false" ht="15" hidden="false" customHeight="false" outlineLevel="0" collapsed="false">
      <c r="A60" s="13" t="s">
        <v>104</v>
      </c>
      <c r="B60" s="14" t="n">
        <v>43</v>
      </c>
      <c r="C60" s="15" t="n">
        <v>0.372093023255814</v>
      </c>
      <c r="D60" s="16" t="n">
        <v>0.472243593868824</v>
      </c>
      <c r="E60" s="16" t="n">
        <v>-0.330381839556024</v>
      </c>
      <c r="F60" s="16" t="n">
        <v>4.53475771532395</v>
      </c>
      <c r="G60" s="17" t="b">
        <f aca="false">FALSE()</f>
        <v>0</v>
      </c>
    </row>
    <row r="61" customFormat="false" ht="15" hidden="false" customHeight="false" outlineLevel="0" collapsed="false">
      <c r="A61" s="18" t="s">
        <v>105</v>
      </c>
      <c r="B61" s="19" t="n">
        <v>37</v>
      </c>
      <c r="C61" s="20" t="n">
        <v>0.45945945945946</v>
      </c>
      <c r="D61" s="21" t="n">
        <v>0.429348046171685</v>
      </c>
      <c r="E61" s="21" t="n">
        <v>-0.361761927160232</v>
      </c>
      <c r="F61" s="21" t="n">
        <v>3.01756742137294</v>
      </c>
      <c r="G61" s="22" t="b">
        <f aca="false">FALSE()</f>
        <v>0</v>
      </c>
    </row>
    <row r="62" customFormat="false" ht="15" hidden="false" customHeight="false" outlineLevel="0" collapsed="false">
      <c r="A62" s="13" t="s">
        <v>106</v>
      </c>
      <c r="B62" s="14" t="n">
        <v>39</v>
      </c>
      <c r="C62" s="15" t="n">
        <v>0.384615384615385</v>
      </c>
      <c r="D62" s="16" t="n">
        <v>0.410781314775113</v>
      </c>
      <c r="E62" s="16" t="n">
        <v>-0.810614049678545</v>
      </c>
      <c r="F62" s="16" t="n">
        <v>4.05067269829196</v>
      </c>
      <c r="G62" s="17" t="b">
        <f aca="false">FALSE()</f>
        <v>0</v>
      </c>
    </row>
    <row r="63" customFormat="false" ht="15" hidden="false" customHeight="false" outlineLevel="0" collapsed="false">
      <c r="A63" s="18" t="s">
        <v>107</v>
      </c>
      <c r="B63" s="19" t="n">
        <v>46</v>
      </c>
      <c r="C63" s="20" t="n">
        <v>0.478260869565217</v>
      </c>
      <c r="D63" s="21" t="n">
        <v>0.400556842902656</v>
      </c>
      <c r="E63" s="21" t="n">
        <v>-0.168548528826536</v>
      </c>
      <c r="F63" s="21" t="n">
        <v>4.26034935503866</v>
      </c>
      <c r="G63" s="22" t="b">
        <f aca="false">FALSE()</f>
        <v>0</v>
      </c>
    </row>
    <row r="64" customFormat="false" ht="15" hidden="false" customHeight="false" outlineLevel="0" collapsed="false">
      <c r="A64" s="13" t="s">
        <v>108</v>
      </c>
      <c r="B64" s="14" t="n">
        <v>42</v>
      </c>
      <c r="C64" s="15" t="n">
        <v>0.476190476190476</v>
      </c>
      <c r="D64" s="16" t="n">
        <v>0.367777850615477</v>
      </c>
      <c r="E64" s="16" t="n">
        <v>-0.518627815111395</v>
      </c>
      <c r="F64" s="16" t="n">
        <v>23.3196442943774</v>
      </c>
      <c r="G64" s="17" t="b">
        <f aca="false">FALSE()</f>
        <v>0</v>
      </c>
    </row>
    <row r="65" customFormat="false" ht="15" hidden="false" customHeight="false" outlineLevel="0" collapsed="false">
      <c r="A65" s="18" t="s">
        <v>109</v>
      </c>
      <c r="B65" s="19" t="n">
        <v>39</v>
      </c>
      <c r="C65" s="20" t="n">
        <v>0.41025641025641</v>
      </c>
      <c r="D65" s="21" t="n">
        <v>0.359124071583659</v>
      </c>
      <c r="E65" s="21" t="n">
        <v>-0.512409186467694</v>
      </c>
      <c r="F65" s="21" t="n">
        <v>4.34769927163744</v>
      </c>
      <c r="G65" s="22" t="b">
        <f aca="false">FALSE()</f>
        <v>0</v>
      </c>
    </row>
    <row r="66" customFormat="false" ht="15" hidden="false" customHeight="false" outlineLevel="0" collapsed="false">
      <c r="A66" s="13" t="s">
        <v>110</v>
      </c>
      <c r="B66" s="14" t="n">
        <v>39</v>
      </c>
      <c r="C66" s="15" t="n">
        <v>0.41025641025641</v>
      </c>
      <c r="D66" s="16" t="n">
        <v>0.347820909271481</v>
      </c>
      <c r="E66" s="16" t="n">
        <v>-0.43408063060378</v>
      </c>
      <c r="F66" s="16" t="n">
        <v>8.02406269766444</v>
      </c>
      <c r="G66" s="17" t="b">
        <f aca="false">FALSE()</f>
        <v>0</v>
      </c>
    </row>
    <row r="67" customFormat="false" ht="15" hidden="false" customHeight="false" outlineLevel="0" collapsed="false">
      <c r="A67" s="18" t="s">
        <v>111</v>
      </c>
      <c r="B67" s="19" t="n">
        <v>39</v>
      </c>
      <c r="C67" s="20" t="n">
        <v>0.538461538461538</v>
      </c>
      <c r="D67" s="21" t="n">
        <v>0.325765081345571</v>
      </c>
      <c r="E67" s="21" t="n">
        <v>-0.351831476806058</v>
      </c>
      <c r="F67" s="21" t="n">
        <v>4.0018148456787</v>
      </c>
      <c r="G67" s="22" t="b">
        <f aca="false">FALSE()</f>
        <v>0</v>
      </c>
    </row>
    <row r="68" customFormat="false" ht="15" hidden="false" customHeight="false" outlineLevel="0" collapsed="false">
      <c r="A68" s="13" t="s">
        <v>112</v>
      </c>
      <c r="B68" s="14" t="n">
        <v>40</v>
      </c>
      <c r="C68" s="15" t="n">
        <v>0.325</v>
      </c>
      <c r="D68" s="16" t="n">
        <v>0.307979214216133</v>
      </c>
      <c r="E68" s="16" t="n">
        <v>-0.404321268040913</v>
      </c>
      <c r="F68" s="16" t="n">
        <v>1.54730639224964</v>
      </c>
      <c r="G68" s="17" t="b">
        <f aca="false">FALSE()</f>
        <v>0</v>
      </c>
    </row>
    <row r="69" customFormat="false" ht="15" hidden="false" customHeight="false" outlineLevel="0" collapsed="false">
      <c r="A69" s="18" t="s">
        <v>113</v>
      </c>
      <c r="B69" s="19" t="n">
        <v>41</v>
      </c>
      <c r="C69" s="20" t="n">
        <v>0.463414634146342</v>
      </c>
      <c r="D69" s="21" t="n">
        <v>0.289911409344497</v>
      </c>
      <c r="E69" s="21" t="n">
        <v>-0.338507769748284</v>
      </c>
      <c r="F69" s="21" t="n">
        <v>5.62510376194457</v>
      </c>
      <c r="G69" s="22" t="b">
        <f aca="false">FALSE()</f>
        <v>0</v>
      </c>
    </row>
    <row r="70" customFormat="false" ht="15" hidden="false" customHeight="false" outlineLevel="0" collapsed="false">
      <c r="A70" s="13" t="s">
        <v>114</v>
      </c>
      <c r="B70" s="14" t="n">
        <v>41</v>
      </c>
      <c r="C70" s="15" t="n">
        <v>0.365853658536585</v>
      </c>
      <c r="D70" s="16" t="n">
        <v>0.285569684379985</v>
      </c>
      <c r="E70" s="16" t="n">
        <v>-0.294717580527864</v>
      </c>
      <c r="F70" s="16" t="n">
        <v>1.84384206923199</v>
      </c>
      <c r="G70" s="17" t="b">
        <f aca="false">FALSE()</f>
        <v>0</v>
      </c>
    </row>
    <row r="71" customFormat="false" ht="15" hidden="false" customHeight="false" outlineLevel="0" collapsed="false">
      <c r="A71" s="18" t="s">
        <v>115</v>
      </c>
      <c r="B71" s="19" t="n">
        <v>34</v>
      </c>
      <c r="C71" s="20" t="n">
        <v>0.470588235294118</v>
      </c>
      <c r="D71" s="21" t="n">
        <v>0.240296695520478</v>
      </c>
      <c r="E71" s="21" t="n">
        <v>-0.719703492805425</v>
      </c>
      <c r="F71" s="21" t="n">
        <v>10.436031299086</v>
      </c>
      <c r="G71" s="22" t="b">
        <f aca="false">FALSE()</f>
        <v>0</v>
      </c>
    </row>
    <row r="72" customFormat="false" ht="15" hidden="false" customHeight="false" outlineLevel="0" collapsed="false">
      <c r="A72" s="13" t="s">
        <v>116</v>
      </c>
      <c r="B72" s="14" t="n">
        <v>33</v>
      </c>
      <c r="C72" s="15" t="n">
        <v>0.424242424242424</v>
      </c>
      <c r="D72" s="16" t="n">
        <v>0.22200848113502</v>
      </c>
      <c r="E72" s="16" t="n">
        <v>-0.289068862517084</v>
      </c>
      <c r="F72" s="16" t="n">
        <v>0.199062870672978</v>
      </c>
      <c r="G72" s="17" t="b">
        <f aca="false">TRUE()</f>
        <v>1</v>
      </c>
    </row>
    <row r="73" customFormat="false" ht="15" hidden="false" customHeight="false" outlineLevel="0" collapsed="false">
      <c r="A73" s="18" t="s">
        <v>117</v>
      </c>
      <c r="B73" s="19" t="n">
        <v>44</v>
      </c>
      <c r="C73" s="20" t="n">
        <v>0.409090909090909</v>
      </c>
      <c r="D73" s="21" t="n">
        <v>0.210602665379279</v>
      </c>
      <c r="E73" s="21" t="n">
        <v>-0.319665255159573</v>
      </c>
      <c r="F73" s="21" t="n">
        <v>1.5581459579323</v>
      </c>
      <c r="G73" s="22" t="b">
        <f aca="false">FALSE()</f>
        <v>0</v>
      </c>
    </row>
    <row r="74" customFormat="false" ht="15" hidden="false" customHeight="false" outlineLevel="0" collapsed="false">
      <c r="A74" s="13" t="s">
        <v>118</v>
      </c>
      <c r="B74" s="14" t="n">
        <v>41</v>
      </c>
      <c r="C74" s="15" t="n">
        <v>0.439024390243902</v>
      </c>
      <c r="D74" s="16" t="n">
        <v>0.199517904273686</v>
      </c>
      <c r="E74" s="16" t="n">
        <v>-0.351668429368985</v>
      </c>
      <c r="F74" s="16" t="n">
        <v>4.43014704793947</v>
      </c>
      <c r="G74" s="17" t="b">
        <f aca="false">FALSE()</f>
        <v>0</v>
      </c>
    </row>
    <row r="75" customFormat="false" ht="15" hidden="false" customHeight="false" outlineLevel="0" collapsed="false">
      <c r="A75" s="18" t="s">
        <v>119</v>
      </c>
      <c r="B75" s="19" t="n">
        <v>38</v>
      </c>
      <c r="C75" s="20" t="n">
        <v>0.263157894736842</v>
      </c>
      <c r="D75" s="21" t="n">
        <v>0.189970493538817</v>
      </c>
      <c r="E75" s="21" t="n">
        <v>-0.77090132779999</v>
      </c>
      <c r="F75" s="21" t="n">
        <v>2.37718153879269</v>
      </c>
      <c r="G75" s="22" t="b">
        <f aca="false">FALSE()</f>
        <v>0</v>
      </c>
    </row>
    <row r="76" customFormat="false" ht="15" hidden="false" customHeight="false" outlineLevel="0" collapsed="false">
      <c r="A76" s="13" t="s">
        <v>120</v>
      </c>
      <c r="B76" s="14" t="n">
        <v>44</v>
      </c>
      <c r="C76" s="15" t="n">
        <v>0.386363636363636</v>
      </c>
      <c r="D76" s="16" t="n">
        <v>0.173661969960669</v>
      </c>
      <c r="E76" s="16" t="n">
        <v>-0.631447320454591</v>
      </c>
      <c r="F76" s="16" t="n">
        <v>5.32082996303085</v>
      </c>
      <c r="G76" s="17" t="b">
        <f aca="false">FALSE()</f>
        <v>0</v>
      </c>
    </row>
    <row r="77" customFormat="false" ht="15" hidden="false" customHeight="false" outlineLevel="0" collapsed="false">
      <c r="A77" s="18" t="s">
        <v>121</v>
      </c>
      <c r="B77" s="19" t="n">
        <v>46</v>
      </c>
      <c r="C77" s="20" t="n">
        <v>0.369565217391304</v>
      </c>
      <c r="D77" s="21" t="n">
        <v>0.171849630507547</v>
      </c>
      <c r="E77" s="21" t="n">
        <v>-0.251299930625282</v>
      </c>
      <c r="F77" s="21" t="n">
        <v>1.34573663319464</v>
      </c>
      <c r="G77" s="22" t="b">
        <f aca="false">FALSE()</f>
        <v>0</v>
      </c>
    </row>
    <row r="78" customFormat="false" ht="15" hidden="false" customHeight="false" outlineLevel="0" collapsed="false">
      <c r="A78" s="13" t="s">
        <v>122</v>
      </c>
      <c r="B78" s="14" t="n">
        <v>10</v>
      </c>
      <c r="C78" s="15" t="n">
        <v>0.3</v>
      </c>
      <c r="D78" s="16" t="n">
        <v>0.148056090062296</v>
      </c>
      <c r="E78" s="16" t="n">
        <v>-0.193938674087475</v>
      </c>
      <c r="F78" s="16" t="n">
        <v>7.49081636906051</v>
      </c>
      <c r="G78" s="17" t="b">
        <f aca="false">FALSE()</f>
        <v>0</v>
      </c>
    </row>
    <row r="79" customFormat="false" ht="15" hidden="false" customHeight="false" outlineLevel="0" collapsed="false">
      <c r="A79" s="18" t="s">
        <v>123</v>
      </c>
      <c r="B79" s="19" t="n">
        <v>44</v>
      </c>
      <c r="C79" s="20" t="n">
        <v>0.431818181818182</v>
      </c>
      <c r="D79" s="21" t="n">
        <v>0.122326341572923</v>
      </c>
      <c r="E79" s="21" t="n">
        <v>-0.178086525815267</v>
      </c>
      <c r="F79" s="21" t="n">
        <v>1.92479393351811</v>
      </c>
      <c r="G79" s="22" t="b">
        <f aca="false">FALSE()</f>
        <v>0</v>
      </c>
    </row>
    <row r="80" customFormat="false" ht="15" hidden="false" customHeight="false" outlineLevel="0" collapsed="false">
      <c r="A80" s="13" t="s">
        <v>124</v>
      </c>
      <c r="B80" s="14" t="n">
        <v>36</v>
      </c>
      <c r="C80" s="15" t="n">
        <v>0.5</v>
      </c>
      <c r="D80" s="16" t="n">
        <v>0.105762278481372</v>
      </c>
      <c r="E80" s="16" t="n">
        <v>-0.344858606366365</v>
      </c>
      <c r="F80" s="16" t="n">
        <v>-0.204273573853463</v>
      </c>
      <c r="G80" s="17" t="b">
        <f aca="false">TRUE()</f>
        <v>1</v>
      </c>
    </row>
    <row r="81" customFormat="false" ht="15" hidden="false" customHeight="false" outlineLevel="0" collapsed="false">
      <c r="A81" s="18" t="s">
        <v>125</v>
      </c>
      <c r="B81" s="19" t="n">
        <v>45</v>
      </c>
      <c r="C81" s="20" t="n">
        <v>0.355555555555556</v>
      </c>
      <c r="D81" s="21" t="n">
        <v>0.0792340443207011</v>
      </c>
      <c r="E81" s="21" t="n">
        <v>-0.369877654194454</v>
      </c>
      <c r="F81" s="21" t="n">
        <v>1.81168869335289</v>
      </c>
      <c r="G81" s="22" t="b">
        <f aca="false">FALSE()</f>
        <v>0</v>
      </c>
    </row>
    <row r="82" customFormat="false" ht="15" hidden="false" customHeight="false" outlineLevel="0" collapsed="false">
      <c r="A82" s="13" t="s">
        <v>126</v>
      </c>
      <c r="B82" s="14" t="n">
        <v>36</v>
      </c>
      <c r="C82" s="15" t="n">
        <v>0.444444444444444</v>
      </c>
      <c r="D82" s="16" t="n">
        <v>0.0735233029286955</v>
      </c>
      <c r="E82" s="16" t="n">
        <v>-0.464789147506298</v>
      </c>
      <c r="F82" s="16" t="n">
        <v>0.259012287581111</v>
      </c>
      <c r="G82" s="17" t="b">
        <f aca="false">FALSE()</f>
        <v>0</v>
      </c>
    </row>
    <row r="83" customFormat="false" ht="15" hidden="false" customHeight="false" outlineLevel="0" collapsed="false">
      <c r="A83" s="18" t="s">
        <v>127</v>
      </c>
      <c r="B83" s="19" t="n">
        <v>41</v>
      </c>
      <c r="C83" s="20" t="n">
        <v>0.365853658536585</v>
      </c>
      <c r="D83" s="21" t="n">
        <v>0.0732227706719932</v>
      </c>
      <c r="E83" s="21" t="n">
        <v>-0.502300393251773</v>
      </c>
      <c r="F83" s="21" t="n">
        <v>-0.19905266325923</v>
      </c>
      <c r="G83" s="22" t="b">
        <f aca="false">TRUE()</f>
        <v>1</v>
      </c>
    </row>
    <row r="84" customFormat="false" ht="15" hidden="false" customHeight="false" outlineLevel="0" collapsed="false">
      <c r="A84" s="13" t="s">
        <v>128</v>
      </c>
      <c r="B84" s="14" t="n">
        <v>46</v>
      </c>
      <c r="C84" s="15" t="n">
        <v>0.391304347826087</v>
      </c>
      <c r="D84" s="16" t="n">
        <v>0.0122772196135328</v>
      </c>
      <c r="E84" s="16" t="n">
        <v>-0.238449784315036</v>
      </c>
      <c r="F84" s="16" t="n">
        <v>1.40635728619998</v>
      </c>
      <c r="G84" s="17" t="b">
        <f aca="false">FALSE()</f>
        <v>0</v>
      </c>
    </row>
    <row r="85" customFormat="false" ht="15" hidden="false" customHeight="false" outlineLevel="0" collapsed="false">
      <c r="A85" s="18" t="s">
        <v>129</v>
      </c>
      <c r="B85" s="19" t="n">
        <v>43</v>
      </c>
      <c r="C85" s="20" t="n">
        <v>0.488372093023256</v>
      </c>
      <c r="D85" s="21" t="n">
        <v>0.00968262504303685</v>
      </c>
      <c r="E85" s="21" t="n">
        <v>-0.466863407926335</v>
      </c>
      <c r="F85" s="21" t="n">
        <v>3.48840342304071</v>
      </c>
      <c r="G85" s="22" t="b">
        <f aca="false">FALSE()</f>
        <v>0</v>
      </c>
    </row>
    <row r="86" customFormat="false" ht="15" hidden="false" customHeight="false" outlineLevel="0" collapsed="false">
      <c r="A86" s="13" t="s">
        <v>130</v>
      </c>
      <c r="B86" s="14" t="n">
        <v>40</v>
      </c>
      <c r="C86" s="15" t="n">
        <v>0.425</v>
      </c>
      <c r="D86" s="16" t="n">
        <v>-0.0299662070206854</v>
      </c>
      <c r="E86" s="16" t="n">
        <v>-0.508688033055365</v>
      </c>
      <c r="F86" s="16" t="n">
        <v>3.0562283733606</v>
      </c>
      <c r="G86" s="17" t="b">
        <f aca="false">FALSE()</f>
        <v>0</v>
      </c>
    </row>
    <row r="87" customFormat="false" ht="15" hidden="false" customHeight="false" outlineLevel="0" collapsed="false">
      <c r="A87" s="18" t="s">
        <v>131</v>
      </c>
      <c r="B87" s="19" t="n">
        <v>47</v>
      </c>
      <c r="C87" s="20" t="n">
        <v>0.404255319148936</v>
      </c>
      <c r="D87" s="21" t="n">
        <v>-0.0310528302449793</v>
      </c>
      <c r="E87" s="21" t="n">
        <v>-0.224611982832859</v>
      </c>
      <c r="F87" s="21" t="n">
        <v>1.75703016036836</v>
      </c>
      <c r="G87" s="22" t="b">
        <f aca="false">FALSE()</f>
        <v>0</v>
      </c>
    </row>
    <row r="88" customFormat="false" ht="15" hidden="false" customHeight="false" outlineLevel="0" collapsed="false">
      <c r="A88" s="13" t="s">
        <v>132</v>
      </c>
      <c r="B88" s="14" t="n">
        <v>41</v>
      </c>
      <c r="C88" s="15" t="n">
        <v>0.487804878048781</v>
      </c>
      <c r="D88" s="16" t="n">
        <v>-0.0488383038585761</v>
      </c>
      <c r="E88" s="16" t="n">
        <v>-0.450572673741985</v>
      </c>
      <c r="F88" s="16" t="n">
        <v>1.64792700557282</v>
      </c>
      <c r="G88" s="17" t="b">
        <f aca="false">FALSE()</f>
        <v>0</v>
      </c>
    </row>
    <row r="89" customFormat="false" ht="15" hidden="false" customHeight="false" outlineLevel="0" collapsed="false">
      <c r="A89" s="18" t="s">
        <v>133</v>
      </c>
      <c r="B89" s="19" t="n">
        <v>40</v>
      </c>
      <c r="C89" s="20" t="n">
        <v>0.375</v>
      </c>
      <c r="D89" s="21" t="n">
        <v>-0.0663161621669169</v>
      </c>
      <c r="E89" s="21" t="n">
        <v>-0.294923193224157</v>
      </c>
      <c r="F89" s="21" t="n">
        <v>0.399853082849154</v>
      </c>
      <c r="G89" s="22" t="b">
        <f aca="false">FALSE()</f>
        <v>0</v>
      </c>
    </row>
    <row r="90" customFormat="false" ht="15" hidden="false" customHeight="false" outlineLevel="0" collapsed="false">
      <c r="A90" s="13" t="s">
        <v>134</v>
      </c>
      <c r="B90" s="14" t="n">
        <v>44</v>
      </c>
      <c r="C90" s="15" t="n">
        <v>0.363636363636364</v>
      </c>
      <c r="D90" s="16" t="n">
        <v>-0.0734261369946694</v>
      </c>
      <c r="E90" s="16" t="n">
        <v>-0.177639701025725</v>
      </c>
      <c r="F90" s="16" t="n">
        <v>0.8469742164632</v>
      </c>
      <c r="G90" s="17" t="b">
        <f aca="false">FALSE()</f>
        <v>0</v>
      </c>
    </row>
    <row r="91" customFormat="false" ht="15" hidden="false" customHeight="false" outlineLevel="0" collapsed="false">
      <c r="A91" s="18" t="s">
        <v>135</v>
      </c>
      <c r="B91" s="19" t="n">
        <v>29</v>
      </c>
      <c r="C91" s="20" t="n">
        <v>0.344827586206897</v>
      </c>
      <c r="D91" s="21" t="n">
        <v>-0.150637352712265</v>
      </c>
      <c r="E91" s="21" t="n">
        <v>-0.490094240732609</v>
      </c>
      <c r="F91" s="21" t="n">
        <v>0.723358188972231</v>
      </c>
      <c r="G91" s="22" t="b">
        <f aca="false">FALSE()</f>
        <v>0</v>
      </c>
    </row>
    <row r="92" customFormat="false" ht="15" hidden="false" customHeight="false" outlineLevel="0" collapsed="false">
      <c r="A92" s="13" t="s">
        <v>136</v>
      </c>
      <c r="B92" s="14" t="n">
        <v>44</v>
      </c>
      <c r="C92" s="15" t="n">
        <v>0.363636363636364</v>
      </c>
      <c r="D92" s="16" t="n">
        <v>-0.173895477137369</v>
      </c>
      <c r="E92" s="16" t="n">
        <v>-0.343622976346935</v>
      </c>
      <c r="F92" s="16" t="n">
        <v>0.411610949240641</v>
      </c>
      <c r="G92" s="17" t="b">
        <f aca="false">FALSE()</f>
        <v>0</v>
      </c>
    </row>
    <row r="93" customFormat="false" ht="15" hidden="false" customHeight="false" outlineLevel="0" collapsed="false">
      <c r="A93" s="18" t="s">
        <v>137</v>
      </c>
      <c r="B93" s="19" t="n">
        <v>41</v>
      </c>
      <c r="C93" s="20" t="n">
        <v>0.390243902439024</v>
      </c>
      <c r="D93" s="21" t="n">
        <v>-0.196771117171065</v>
      </c>
      <c r="E93" s="21" t="n">
        <v>-0.392032568713531</v>
      </c>
      <c r="F93" s="21" t="n">
        <v>0.421359347729795</v>
      </c>
      <c r="G93" s="22" t="b">
        <f aca="false">FALSE()</f>
        <v>0</v>
      </c>
    </row>
    <row r="94" customFormat="false" ht="15" hidden="false" customHeight="false" outlineLevel="0" collapsed="false">
      <c r="A94" s="13" t="s">
        <v>138</v>
      </c>
      <c r="B94" s="14" t="n">
        <v>39</v>
      </c>
      <c r="C94" s="15" t="n">
        <v>0.358974358974359</v>
      </c>
      <c r="D94" s="16" t="n">
        <v>-0.220315144819972</v>
      </c>
      <c r="E94" s="16" t="n">
        <v>-0.613440681002761</v>
      </c>
      <c r="F94" s="16" t="n">
        <v>2.74743167388606</v>
      </c>
      <c r="G94" s="17" t="b">
        <f aca="false">FALSE()</f>
        <v>0</v>
      </c>
    </row>
    <row r="95" customFormat="false" ht="15" hidden="false" customHeight="false" outlineLevel="0" collapsed="false">
      <c r="A95" s="18" t="s">
        <v>139</v>
      </c>
      <c r="B95" s="19" t="n">
        <v>46</v>
      </c>
      <c r="C95" s="20" t="n">
        <v>0.41304347826087</v>
      </c>
      <c r="D95" s="21" t="n">
        <v>-0.308179834939176</v>
      </c>
      <c r="E95" s="21" t="n">
        <v>-0.535744531508839</v>
      </c>
      <c r="F95" s="21" t="n">
        <v>2.39745223218167</v>
      </c>
      <c r="G95" s="22" t="b">
        <f aca="false">FALSE()</f>
        <v>0</v>
      </c>
    </row>
    <row r="96" customFormat="false" ht="15" hidden="false" customHeight="false" outlineLevel="0" collapsed="false">
      <c r="A96" s="13" t="s">
        <v>140</v>
      </c>
      <c r="B96" s="14" t="n">
        <v>41</v>
      </c>
      <c r="C96" s="15" t="n">
        <v>0.268292682926829</v>
      </c>
      <c r="D96" s="16" t="n">
        <v>-0.319005092086288</v>
      </c>
      <c r="E96" s="16" t="n">
        <v>-0.579603811003847</v>
      </c>
      <c r="F96" s="16" t="n">
        <v>0.138266246437346</v>
      </c>
      <c r="G96" s="17" t="b">
        <f aca="false">FALSE()</f>
        <v>0</v>
      </c>
    </row>
    <row r="97" customFormat="false" ht="15" hidden="false" customHeight="false" outlineLevel="0" collapsed="false">
      <c r="A97" s="18" t="s">
        <v>141</v>
      </c>
      <c r="B97" s="19" t="n">
        <v>36</v>
      </c>
      <c r="C97" s="20" t="n">
        <v>0.388888888888889</v>
      </c>
      <c r="D97" s="21" t="n">
        <v>-0.320195307520554</v>
      </c>
      <c r="E97" s="21" t="n">
        <v>-0.427751403922841</v>
      </c>
      <c r="F97" s="21" t="n">
        <v>0.876590374352939</v>
      </c>
      <c r="G97" s="22" t="b">
        <f aca="false">FALSE()</f>
        <v>0</v>
      </c>
    </row>
    <row r="98" customFormat="false" ht="15" hidden="false" customHeight="false" outlineLevel="0" collapsed="false">
      <c r="A98" s="13" t="s">
        <v>142</v>
      </c>
      <c r="B98" s="14" t="n">
        <v>51</v>
      </c>
      <c r="C98" s="15" t="n">
        <v>0.294117647058824</v>
      </c>
      <c r="D98" s="16" t="n">
        <v>-0.367453013009258</v>
      </c>
      <c r="E98" s="16" t="n">
        <v>-0.501243583869048</v>
      </c>
      <c r="F98" s="16" t="n">
        <v>1.53926261515118</v>
      </c>
      <c r="G98" s="17" t="b">
        <f aca="false">FALSE()</f>
        <v>0</v>
      </c>
    </row>
    <row r="99" customFormat="false" ht="15" hidden="false" customHeight="false" outlineLevel="0" collapsed="false">
      <c r="A99" s="18" t="s">
        <v>143</v>
      </c>
      <c r="B99" s="19" t="n">
        <v>40</v>
      </c>
      <c r="C99" s="20" t="n">
        <v>0.375</v>
      </c>
      <c r="D99" s="21" t="n">
        <v>-0.397223573420875</v>
      </c>
      <c r="E99" s="21" t="n">
        <v>-0.539438349377333</v>
      </c>
      <c r="F99" s="21" t="n">
        <v>2.15474307194159</v>
      </c>
      <c r="G99" s="22" t="b">
        <f aca="false">FALSE()</f>
        <v>0</v>
      </c>
    </row>
    <row r="100" customFormat="false" ht="15" hidden="false" customHeight="false" outlineLevel="0" collapsed="false">
      <c r="A100" s="13" t="s">
        <v>144</v>
      </c>
      <c r="B100" s="14" t="n">
        <v>41</v>
      </c>
      <c r="C100" s="15" t="n">
        <v>0.317073170731707</v>
      </c>
      <c r="D100" s="16" t="n">
        <v>-0.402226305186801</v>
      </c>
      <c r="E100" s="16" t="n">
        <v>-0.854724728603361</v>
      </c>
      <c r="F100" s="16" t="n">
        <v>32.7301577089656</v>
      </c>
      <c r="G100" s="17" t="b">
        <f aca="false">FALSE()</f>
        <v>0</v>
      </c>
    </row>
    <row r="101" customFormat="false" ht="15" hidden="false" customHeight="false" outlineLevel="0" collapsed="false">
      <c r="A101" s="18" t="s">
        <v>145</v>
      </c>
      <c r="B101" s="19" t="n">
        <v>43</v>
      </c>
      <c r="C101" s="20" t="n">
        <v>0.372093023255814</v>
      </c>
      <c r="D101" s="21" t="n">
        <v>-0.4453519308921</v>
      </c>
      <c r="E101" s="21" t="n">
        <v>-0.699706270390026</v>
      </c>
      <c r="F101" s="21" t="n">
        <v>1.02847942541563</v>
      </c>
      <c r="G101" s="22" t="b">
        <f aca="false">FALSE()</f>
        <v>0</v>
      </c>
    </row>
  </sheetData>
  <autoFilter ref="A1:G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2026-06-21T18:31:11Z</dcterms:created>
  <dc:creator>openpyxl</dc:creator>
  <dc:description/>
  <dc:language>en-US</dc:language>
  <cp:lastModifiedBy/>
  <dcterms:modified xsi:type="dcterms:W3CDTF">2026-06-21T18:31:11Z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